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áo Cáo Nhân Lự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0B3064"/>
      <sz val="15"/>
    </font>
    <font>
      <name val="Arial"/>
      <b val="1"/>
      <color rgb="000B3064"/>
      <sz val="11"/>
    </font>
    <font>
      <name val="Arial"/>
      <b val="1"/>
      <color rgb="000B3064"/>
      <sz val="9.5"/>
    </font>
    <font>
      <name val="Arial"/>
      <b val="1"/>
      <color rgb="00B92521"/>
      <sz val="9.5"/>
    </font>
    <font>
      <name val="Arial"/>
      <color rgb="001C2430"/>
      <sz val="9"/>
    </font>
    <font>
      <name val="Arial"/>
      <b val="1"/>
      <color rgb="00FFFFFF"/>
      <sz val="10"/>
    </font>
    <font>
      <name val="Arial"/>
      <b val="1"/>
      <color rgb="000B3064"/>
      <sz val="9"/>
    </font>
    <font>
      <name val="Arial"/>
      <color rgb="00000000"/>
      <sz val="9.5"/>
    </font>
    <font>
      <name val="Arial"/>
      <b val="1"/>
      <color rgb="00B92521"/>
      <sz val="10"/>
    </font>
    <font>
      <name val="Arial"/>
      <b val="1"/>
      <color rgb="000B3064"/>
      <sz val="10"/>
    </font>
    <font>
      <name val="Arial"/>
      <b val="1"/>
      <color rgb="00B92521"/>
      <sz val="12"/>
    </font>
  </fonts>
  <fills count="5">
    <fill>
      <patternFill/>
    </fill>
    <fill>
      <patternFill patternType="gray125"/>
    </fill>
    <fill>
      <patternFill patternType="solid">
        <fgColor rgb="000B3064"/>
        <bgColor rgb="000B3064"/>
      </patternFill>
    </fill>
    <fill>
      <patternFill patternType="solid">
        <fgColor rgb="00EBF1F8"/>
        <bgColor rgb="00EBF1F8"/>
      </patternFill>
    </fill>
    <fill>
      <patternFill patternType="solid">
        <fgColor rgb="00F8FAFC"/>
        <bgColor rgb="00F8FAFC"/>
      </patternFill>
    </fill>
  </fills>
  <borders count="11">
    <border>
      <left/>
      <right/>
      <top/>
      <bottom/>
      <diagonal/>
    </border>
    <border>
      <bottom style="thin">
        <color rgb="009FB8D4"/>
      </bottom>
    </border>
    <border>
      <left style="thin">
        <color rgb="009FB8D4"/>
      </left>
      <right style="thin">
        <color rgb="009FB8D4"/>
      </right>
      <top style="thin">
        <color rgb="009FB8D4"/>
      </top>
      <bottom style="thin">
        <color rgb="009FB8D4"/>
      </bottom>
    </border>
    <border>
      <left style="thin">
        <color rgb="009FB8D4"/>
      </left>
    </border>
    <border>
      <right style="thin">
        <color rgb="009FB8D4"/>
      </right>
    </border>
    <border>
      <left style="thin">
        <color rgb="009FB8D4"/>
      </left>
      <top style="thin">
        <color rgb="009FB8D4"/>
      </top>
    </border>
    <border>
      <left style="thin">
        <color rgb="009FB8D4"/>
      </left>
      <bottom style="thin">
        <color rgb="009FB8D4"/>
      </bottom>
    </border>
    <border>
      <left/>
      <right/>
      <top style="thin">
        <color rgb="009FB8D4"/>
      </top>
    </border>
    <border>
      <left/>
      <right/>
      <bottom style="thin">
        <color rgb="009FB8D4"/>
      </bottom>
    </border>
    <border>
      <right style="thin">
        <color rgb="009FB8D4"/>
      </right>
      <top style="thin">
        <color rgb="009FB8D4"/>
      </top>
    </border>
    <border>
      <right style="thin">
        <color rgb="009FB8D4"/>
      </right>
      <bottom style="thin">
        <color rgb="009FB8D4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1" pivotButton="0" quotePrefix="0" xfId="0"/>
    <xf numFmtId="0" fontId="6" fillId="2" borderId="0" applyAlignment="1" pivotButton="0" quotePrefix="0" xfId="0">
      <alignment horizontal="left" vertical="center" indent="1"/>
    </xf>
    <xf numFmtId="0" fontId="7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7" fillId="3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indent="1"/>
    </xf>
    <xf numFmtId="0" fontId="9" fillId="0" borderId="2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0" fillId="0" borderId="9" pivotButton="0" quotePrefix="0" xfId="0"/>
    <xf numFmtId="0" fontId="5" fillId="0" borderId="3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0" borderId="4" pivotButton="0" quotePrefix="0" xfId="0"/>
    <xf numFmtId="0" fontId="10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8" applyAlignment="1" pivotButton="0" quotePrefix="0" xfId="0">
      <alignment horizontal="left" vertical="center"/>
    </xf>
    <xf numFmtId="0" fontId="0" fillId="0" borderId="10" pivotButton="0" quotePrefix="0" xfId="0"/>
    <xf numFmtId="0" fontId="6" fillId="2" borderId="0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2" fillId="0" borderId="6" applyAlignment="1" pivotButton="0" quotePrefix="0" xfId="0">
      <alignment horizontal="center" vertical="center"/>
    </xf>
    <xf numFmtId="0" fontId="0" fillId="0" borderId="8" pivotButton="0" quotePrefix="0" xfId="0"/>
    <xf numFmtId="0" fontId="11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0</colOff>
      <row>0</row>
      <rowOff>0</rowOff>
    </from>
    <ext cx="37147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1143000" cy="4000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5"/>
  <sheetViews>
    <sheetView showGridLines="1" workbookViewId="0">
      <selection activeCell="A1" sqref="A1"/>
    </sheetView>
  </sheetViews>
  <sheetFormatPr baseColWidth="8" defaultRowHeight="15"/>
  <cols>
    <col width="5.5" customWidth="1" min="1" max="1"/>
    <col width="17" customWidth="1" min="2" max="2"/>
    <col width="8" customWidth="1" min="3" max="3"/>
    <col width="17" customWidth="1" min="4" max="4"/>
    <col width="9" customWidth="1" min="5" max="5"/>
    <col width="2.5" customWidth="1" min="6" max="6"/>
    <col width="12" customWidth="1" min="7" max="7"/>
    <col width="33" customWidth="1" min="8" max="8"/>
    <col width="15" customWidth="1" min="9" max="9"/>
  </cols>
  <sheetData>
    <row r="1">
      <c r="A1" s="1" t="inlineStr">
        <is>
          <t>BÁO CÁO NHÂN LỰC HÀNG NGÀY</t>
        </is>
      </c>
    </row>
    <row r="2">
      <c r="A2" s="2" t="inlineStr">
        <is>
          <t>TẠI CÔNG TRƯỜNG</t>
        </is>
      </c>
    </row>
    <row r="3">
      <c r="A3" s="3" t="inlineStr">
        <is>
          <t>Dự án:</t>
        </is>
      </c>
      <c r="B3" s="4" t="inlineStr">
        <is>
          <t>Phát triển tích hợp thích ứng - tỉnh Bình Định</t>
        </is>
      </c>
    </row>
    <row r="4">
      <c r="A4" s="3" t="inlineStr">
        <is>
          <t>Gói thầu:</t>
        </is>
      </c>
      <c r="B4" s="4" t="inlineStr">
        <is>
          <t>BD-CW01: Đoạn đường từ quốc lộ 19C kết nối cảng Quy Nhơn (Km0-Km1+159.97)</t>
        </is>
      </c>
    </row>
    <row r="5">
      <c r="A5" s="3" t="inlineStr">
        <is>
          <t>Nhà thầu:</t>
        </is>
      </c>
      <c r="B5" s="4" t="inlineStr">
        <is>
          <t>Công ty Cổ phần XDCT 510</t>
        </is>
      </c>
      <c r="D5" s="5" t="inlineStr">
        <is>
          <t>Ngày báo cáo:</t>
        </is>
      </c>
      <c r="E5" s="6" t="inlineStr">
        <is>
          <t>18/07/2026</t>
        </is>
      </c>
    </row>
    <row r="6">
      <c r="A6" s="3" t="inlineStr">
        <is>
          <t>Thời tiết:</t>
        </is>
      </c>
      <c r="B6" s="7" t="inlineStr">
        <is>
          <t xml:space="preserve"> [x] Nắng    [ ] Mưa    [ ] Âm u    Khác: .................</t>
        </is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9" t="inlineStr">
        <is>
          <t>1. THỐNG KÊ NHÂN LỰC</t>
        </is>
      </c>
      <c r="G8" s="9" t="inlineStr">
        <is>
          <t>2. NHÂN LỰC THEO KHU VỰC THI CÔNG</t>
        </is>
      </c>
    </row>
    <row r="9">
      <c r="A9" s="10" t="inlineStr">
        <is>
          <t>STT</t>
        </is>
      </c>
      <c r="B9" s="10" t="inlineStr">
        <is>
          <t>BỘ PHẬN / TỔ ĐỘI</t>
        </is>
      </c>
      <c r="C9" s="11" t="n"/>
      <c r="D9" s="11" t="n"/>
      <c r="E9" s="12" t="inlineStr">
        <is>
          <t>SỐ LƯỢNG (NGƯỜI)</t>
        </is>
      </c>
      <c r="G9" s="10" t="inlineStr">
        <is>
          <t>KHU VỰC</t>
        </is>
      </c>
      <c r="H9" s="10" t="inlineStr">
        <is>
          <t>NỘI DUNG CÔNG VIỆC</t>
        </is>
      </c>
      <c r="I9" s="12" t="inlineStr">
        <is>
          <t>SỐ LƯỢNG NHÂN CÔNG</t>
        </is>
      </c>
    </row>
    <row r="10">
      <c r="A10" s="13" t="n">
        <v>1</v>
      </c>
      <c r="B10" s="14" t="inlineStr">
        <is>
          <t>Ban chỉ huy công trường</t>
        </is>
      </c>
      <c r="C10" s="11" t="n"/>
      <c r="D10" s="11" t="n"/>
      <c r="E10" s="15" t="n">
        <v>5</v>
      </c>
      <c r="G10" s="13" t="inlineStr">
        <is>
          <t>Mũi 1</t>
        </is>
      </c>
      <c r="H10" s="14" t="inlineStr">
        <is>
          <t>Thi công cọc khoan nhồi trụ T2 và khoan phá đá trụ T3</t>
        </is>
      </c>
      <c r="I10" s="15" t="n">
        <v>35</v>
      </c>
    </row>
    <row r="11">
      <c r="A11" s="13" t="n">
        <v>2</v>
      </c>
      <c r="B11" s="14" t="inlineStr">
        <is>
          <t>Đội ngũ kỹ thuật &amp; Đội trưởng</t>
        </is>
      </c>
      <c r="C11" s="11" t="n"/>
      <c r="D11" s="11" t="n"/>
      <c r="E11" s="15" t="n">
        <v>4</v>
      </c>
      <c r="G11" s="13" t="inlineStr">
        <is>
          <t>Mũi 2</t>
        </is>
      </c>
      <c r="H11" s="14" t="inlineStr">
        <is>
          <t>Thi công bệ đúc dầm và lắp đặt cốt thép dầm Super-T</t>
        </is>
      </c>
      <c r="I11" s="15" t="n">
        <v>25</v>
      </c>
    </row>
    <row r="12">
      <c r="A12" s="13" t="n">
        <v>3</v>
      </c>
      <c r="B12" s="14" t="inlineStr">
        <is>
          <t>Công nhân đội 22 (Thi công cầu)</t>
        </is>
      </c>
      <c r="C12" s="11" t="n"/>
      <c r="D12" s="11" t="n"/>
      <c r="E12" s="15" t="n">
        <v>30</v>
      </c>
      <c r="G12" s="13" t="inlineStr">
        <is>
          <t>Mũi 3</t>
        </is>
      </c>
      <c r="H12" s="14" t="inlineStr">
        <is>
          <t>Đào bóc hữu cơ, đắp cát tôn tạo nền đường Km0+800</t>
        </is>
      </c>
      <c r="I12" s="15" t="n">
        <v>20</v>
      </c>
    </row>
    <row r="13">
      <c r="A13" s="13" t="n">
        <v>4</v>
      </c>
      <c r="B13" s="14" t="inlineStr">
        <is>
          <t>Công nhân đội 23 (Đường &amp; nền móng)</t>
        </is>
      </c>
      <c r="C13" s="11" t="n"/>
      <c r="D13" s="11" t="n"/>
      <c r="E13" s="15" t="n">
        <v>25</v>
      </c>
      <c r="G13" s="13" t="inlineStr">
        <is>
          <t>Mũi 4</t>
        </is>
      </c>
      <c r="H13" s="14" t="inlineStr">
        <is>
          <t>Gia công cơ khí, thép hào kỹ thuật và bảo dưỡng thiết bị</t>
        </is>
      </c>
      <c r="I13" s="15" t="n">
        <v>19</v>
      </c>
    </row>
    <row r="14">
      <c r="A14" s="13" t="n">
        <v>5</v>
      </c>
      <c r="B14" s="14" t="inlineStr">
        <is>
          <t>Tổ vận hành xe máy thiết bị &amp; Cơ giới</t>
        </is>
      </c>
      <c r="C14" s="11" t="n"/>
      <c r="D14" s="11" t="n"/>
      <c r="E14" s="15" t="n">
        <v>12</v>
      </c>
      <c r="G14" s="9" t="inlineStr">
        <is>
          <t>3. ĐÁNH GIÁ TÌNH HÌNH NHÂN LỰC</t>
        </is>
      </c>
    </row>
    <row r="15">
      <c r="A15" s="13" t="n">
        <v>6</v>
      </c>
      <c r="B15" s="14" t="inlineStr">
        <is>
          <t>Nhà thầu phụ Công ty Hà Thành</t>
        </is>
      </c>
      <c r="C15" s="11" t="n"/>
      <c r="D15" s="11" t="n"/>
      <c r="E15" s="15" t="n">
        <v>15</v>
      </c>
      <c r="G15" s="16" t="inlineStr">
        <is>
          <t>• Tổng số nhân lực hiện trường:</t>
        </is>
      </c>
      <c r="H15" s="17">
        <f>E17 &amp; " người."</f>
        <v/>
      </c>
      <c r="I15" s="18" t="n"/>
    </row>
    <row r="16">
      <c r="A16" s="13" t="n">
        <v>7</v>
      </c>
      <c r="B16" s="14" t="inlineStr">
        <is>
          <t>Nhà thầu phụ Công ty Tấn Thành</t>
        </is>
      </c>
      <c r="C16" s="11" t="n"/>
      <c r="D16" s="11" t="n"/>
      <c r="E16" s="15" t="n">
        <v>8</v>
      </c>
      <c r="G16" s="19" t="inlineStr">
        <is>
          <t>• Nhân lực đáp ứng tiến độ:</t>
        </is>
      </c>
      <c r="H16" s="20" t="inlineStr">
        <is>
          <t xml:space="preserve"> [x] Có     [ ] Không</t>
        </is>
      </c>
      <c r="I16" s="21" t="n"/>
    </row>
    <row r="17">
      <c r="A17" s="22" t="inlineStr">
        <is>
          <t>TỔNG CỘNG</t>
        </is>
      </c>
      <c r="B17" s="11" t="n"/>
      <c r="C17" s="11" t="n"/>
      <c r="D17" s="11" t="n"/>
      <c r="E17" s="23">
        <f>SUM(E10:E16)</f>
        <v/>
      </c>
      <c r="G17" s="19" t="inlineStr">
        <is>
          <t>• Tình hình chấp hành ATLĐ:</t>
        </is>
      </c>
      <c r="H17" s="20" t="inlineStr">
        <is>
          <t xml:space="preserve"> [x] Tốt   [ ] Khá   [ ] Trung bình   [ ] Kém</t>
        </is>
      </c>
      <c r="I17" s="21" t="n"/>
    </row>
    <row r="18">
      <c r="G18" s="19" t="inlineStr">
        <is>
          <t>• Số nhân công mới vào công trường:</t>
        </is>
      </c>
      <c r="H18" s="20" t="inlineStr">
        <is>
          <t xml:space="preserve"> 08 người.</t>
        </is>
      </c>
      <c r="I18" s="21" t="n"/>
    </row>
    <row r="19">
      <c r="A19" s="9" t="inlineStr">
        <is>
          <t>4. KẾ HOẠCH NHÂN LỰC NGÀY MAI (19/07/2026)</t>
        </is>
      </c>
      <c r="G19" s="19" t="inlineStr">
        <is>
          <t>• Số nhân công nghỉ việc / nghỉ phép:</t>
        </is>
      </c>
      <c r="H19" s="20" t="inlineStr">
        <is>
          <t xml:space="preserve"> 02 người.</t>
        </is>
      </c>
      <c r="I19" s="21" t="n"/>
    </row>
    <row r="20">
      <c r="A20" s="10" t="inlineStr">
        <is>
          <t>BỘ PHẬN / TỔ ĐỘI</t>
        </is>
      </c>
      <c r="B20" s="11" t="n"/>
      <c r="C20" s="12" t="inlineStr">
        <is>
          <t>NHÂN LỰC DỰ KIẾN</t>
        </is>
      </c>
      <c r="D20" s="10" t="inlineStr">
        <is>
          <t>BỘ PHẬN / TỔ ĐỘI</t>
        </is>
      </c>
      <c r="E20" s="12" t="inlineStr">
        <is>
          <t>NHÂN LỰC DỰ KIẾN</t>
        </is>
      </c>
      <c r="G20" s="24" t="inlineStr">
        <is>
          <t>• Ghi chú khác:</t>
        </is>
      </c>
      <c r="H20" s="25" t="inlineStr">
        <is>
          <t xml:space="preserve"> Huy động tối đa 99 nhân lực tăng ca thi công cọc khoan nhồi vượt tiến độ trước mùa mưa.</t>
        </is>
      </c>
      <c r="I20" s="26" t="n"/>
    </row>
    <row r="21">
      <c r="A21" s="14" t="inlineStr">
        <is>
          <t>Ban chỉ huy công trường</t>
        </is>
      </c>
      <c r="B21" s="11" t="n"/>
      <c r="C21" s="15" t="n">
        <v>5</v>
      </c>
      <c r="D21" s="14" t="inlineStr">
        <is>
          <t>Tổ xe máy &amp; Cơ giới</t>
        </is>
      </c>
      <c r="E21" s="15" t="n">
        <v>12</v>
      </c>
      <c r="G21" s="27" t="inlineStr">
        <is>
          <t>XÁC NHẬN</t>
        </is>
      </c>
    </row>
    <row r="22">
      <c r="A22" s="14" t="inlineStr">
        <is>
          <t>Kỹ thuật &amp; Đội trưởng</t>
        </is>
      </c>
      <c r="B22" s="11" t="n"/>
      <c r="C22" s="15" t="n">
        <v>4</v>
      </c>
      <c r="D22" s="14" t="inlineStr">
        <is>
          <t>Công ty Hà Thành</t>
        </is>
      </c>
      <c r="E22" s="15" t="n">
        <v>15</v>
      </c>
      <c r="G22" s="28" t="inlineStr">
        <is>
          <t>CHỈ HUY TRƯỞNG CÔNG TRƯỜNG</t>
        </is>
      </c>
      <c r="I22" s="21" t="n"/>
    </row>
    <row r="23" ht="36" customHeight="1">
      <c r="A23" s="14" t="inlineStr">
        <is>
          <t>Công nhân đội 22</t>
        </is>
      </c>
      <c r="B23" s="11" t="n"/>
      <c r="C23" s="15" t="n">
        <v>30</v>
      </c>
      <c r="D23" s="14" t="inlineStr">
        <is>
          <t>Công ty Tấn Thành</t>
        </is>
      </c>
      <c r="E23" s="15" t="n">
        <v>8</v>
      </c>
      <c r="G23" s="29" t="n"/>
      <c r="I23" s="21" t="n"/>
    </row>
    <row r="24">
      <c r="A24" s="14" t="inlineStr">
        <is>
          <t>Công nhân đội 23</t>
        </is>
      </c>
      <c r="B24" s="11" t="n"/>
      <c r="C24" s="15" t="n">
        <v>25</v>
      </c>
      <c r="D24" s="14" t="inlineStr"/>
      <c r="E24" s="15" t="inlineStr"/>
      <c r="G24" s="30" t="inlineStr">
        <is>
          <t>Nguyễn Anh Tuấn</t>
        </is>
      </c>
      <c r="H24" s="31" t="n"/>
      <c r="I24" s="26" t="n"/>
    </row>
    <row r="25">
      <c r="A25" s="32" t="inlineStr">
        <is>
          <t>TỔNG CỘNG</t>
        </is>
      </c>
      <c r="B25" s="11" t="n"/>
      <c r="C25" s="11" t="n"/>
      <c r="D25" s="11" t="n"/>
      <c r="E25" s="23">
        <f>SUM(C21:C24)+SUM(E21:E24)</f>
        <v/>
      </c>
    </row>
  </sheetData>
  <mergeCells count="35">
    <mergeCell ref="B11:D11"/>
    <mergeCell ref="A17:D17"/>
    <mergeCell ref="A24:B24"/>
    <mergeCell ref="B14:D14"/>
    <mergeCell ref="H20:I20"/>
    <mergeCell ref="B6:E6"/>
    <mergeCell ref="B13:D13"/>
    <mergeCell ref="A1:E1"/>
    <mergeCell ref="B10:D10"/>
    <mergeCell ref="G24:I24"/>
    <mergeCell ref="G14:I14"/>
    <mergeCell ref="B4:E4"/>
    <mergeCell ref="B9:D9"/>
    <mergeCell ref="B3:E3"/>
    <mergeCell ref="B15:D15"/>
    <mergeCell ref="H17:I17"/>
    <mergeCell ref="A21:B21"/>
    <mergeCell ref="A2:E2"/>
    <mergeCell ref="H16:I16"/>
    <mergeCell ref="G22:I22"/>
    <mergeCell ref="A25:D25"/>
    <mergeCell ref="H19:I19"/>
    <mergeCell ref="A8:E8"/>
    <mergeCell ref="A23:B23"/>
    <mergeCell ref="G21:I21"/>
    <mergeCell ref="B16:D16"/>
    <mergeCell ref="A22:B22"/>
    <mergeCell ref="A20:B20"/>
    <mergeCell ref="B5:C5"/>
    <mergeCell ref="H15:I15"/>
    <mergeCell ref="A19:E19"/>
    <mergeCell ref="H18:I18"/>
    <mergeCell ref="G8:I8"/>
    <mergeCell ref="G23:I23"/>
    <mergeCell ref="B12:D12"/>
  </mergeCells>
  <pageMargins left="0.3" right="0.3" top="0.3" bottom="0.3" header="0.5" footer="0.5"/>
  <pageSetup orientation="landscape" paperSize="9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2026-09-09T11:21:56Z</dcterms:created>
  <dcterms:modified xsi:type="dcterms:W3CDTF">2026-09-09T11:21:56Z</dcterms:modified>
</cp:coreProperties>
</file>